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d5814edb0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y costos" sheetId="1" r:id="R14076f4c1ffd4985"/>
    <x:sheet xmlns:r="http://schemas.openxmlformats.org/officeDocument/2006/relationships" name="Presupuesto" sheetId="2" r:id="R49e9dca07679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68934f07b429b" /><Relationship Type="http://schemas.openxmlformats.org/officeDocument/2006/relationships/theme" Target="/xl/theme/theme1.xml" Id="R59f30adbb75f4a68" /><Relationship Type="http://schemas.openxmlformats.org/officeDocument/2006/relationships/sharedStrings" Target="/xl/sharedStrings.xml" Id="R4167ad022e1949b9" /><Relationship Type="http://schemas.openxmlformats.org/officeDocument/2006/relationships/worksheet" Target="/xl/worksheets/sheet1.xml" Id="R14076f4c1ffd4985" /><Relationship Type="http://schemas.openxmlformats.org/officeDocument/2006/relationships/worksheet" Target="/xl/worksheets/sheet2.xml" Id="R49e9dca0767941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57" hidden="0" customWidth="1"/>
    <x:col min="10" max="10" width="25" hidden="0" customWidth="1"/>
    <x:col min="11" max="11" width="18" hidden="0" customWidth="1"/>
  </x:cols>
  <x:sheetData>
    <x:row r="1" ht="30" customHeight="1">
      <x:c r="A1" s="5" t="str">
        <x:v>ID</x:v>
      </x:c>
      <x:c r="B1" s="5" t="str">
        <x:v>Actividad</x:v>
      </x:c>
      <x:c r="C1" s="5" t="str">
        <x:v>Inicio</x:v>
      </x:c>
      <x:c r="D1" s="5" t="str">
        <x:v>Fin</x:v>
      </x:c>
      <x:c r="E1" s="5" t="str">
        <x:v>Horas estimadas</x:v>
      </x:c>
      <x:c r="F1" s="5" t="str">
        <x:v>Horas reales</x:v>
      </x:c>
      <x:c r="G1" s="5" t="str">
        <x:v>Estado</x:v>
      </x:c>
      <x:c r="H1" s="5" t="str">
        <x:v>Evidencia</x:v>
      </x:c>
      <x:c r="J1" s="5" t="str">
        <x:v>PARÁMETRO</x:v>
      </x:c>
      <x:c r="K1" s="5" t="str">
        <x:v>VALOR</x:v>
      </x:c>
    </x:row>
    <x:row r="2">
      <x:c r="A2" s="10" t="str">
        <x:v>1</x:v>
      </x:c>
      <x:c r="B2" s="10" t="str">
        <x:v>Trabajo previo y diagnóstico</x:v>
      </x:c>
      <x:c r="C2" s="10" t="str">
        <x:v>2026-09-10</x:v>
      </x:c>
      <x:c r="D2" s="10" t="str">
        <x:v>2026-10-07</x:v>
      </x:c>
      <x:c r="E2" s="10" t="n">
        <x:v>30</x:v>
      </x:c>
      <x:c r="F2" s="10"/>
      <x:c r="G2" s="10" t="str">
        <x:v>Planeado</x:v>
      </x:c>
      <x:c r="H2" s="10" t="str">
        <x:v>Prototipo disponible; inventario por verificar</x:v>
      </x:c>
      <x:c r="J2" t="str">
        <x:v>Tarifa hora COP</x:v>
      </x:c>
      <x:c r="K2" t="n">
        <x:v>0</x:v>
      </x:c>
    </x:row>
    <x:row r="3">
      <x:c r="A3" s="10" t="str">
        <x:v>2</x:v>
      </x:c>
      <x:c r="B3" s="10" t="str">
        <x:v>Iniciación / ESEIT semana 5</x:v>
      </x:c>
      <x:c r="C3" s="10" t="str">
        <x:v>2026-10-08</x:v>
      </x:c>
      <x:c r="D3" s="10" t="str">
        <x:v>2026-10-14</x:v>
      </x:c>
      <x:c r="E3" s="10" t="n">
        <x:v>7.5</x:v>
      </x:c>
      <x:c r="F3" s="10"/>
      <x:c r="G3" s="10" t="str">
        <x:v>Planeado</x:v>
      </x:c>
      <x:c r="H3" s="10" t="str">
        <x:v>Acta, interesados, visión</x:v>
      </x:c>
      <x:c r="J3" t="str">
        <x:v>Costos externos COP</x:v>
      </x:c>
      <x:c r="K3" t="n">
        <x:v>0</x:v>
      </x:c>
    </x:row>
    <x:row r="4">
      <x:c r="A4" s="10" t="str">
        <x:v>3</x:v>
      </x:c>
      <x:c r="B4" s="10" t="str">
        <x:v>Planeación / ESEIT semana 6</x:v>
      </x:c>
      <x:c r="C4" s="10" t="str">
        <x:v>2026-10-15</x:v>
      </x:c>
      <x:c r="D4" s="10" t="str">
        <x:v>2026-10-21</x:v>
      </x:c>
      <x:c r="E4" s="10" t="n">
        <x:v>7.5</x:v>
      </x:c>
      <x:c r="F4" s="10"/>
      <x:c r="G4" s="10" t="str">
        <x:v>Planeado</x:v>
      </x:c>
      <x:c r="H4" s="10" t="str">
        <x:v>Alcance, EDT, Gantt, presupuesto, riesgos</x:v>
      </x:c>
      <x:c r="J4" t="str">
        <x:v>Contingencia %</x:v>
      </x:c>
      <x:c r="K4" t="n">
        <x:v>0</x:v>
      </x:c>
    </x:row>
    <x:row r="5">
      <x:c r="A5" s="10" t="str">
        <x:v>4</x:v>
      </x:c>
      <x:c r="B5" s="10" t="str">
        <x:v>Repositorio y estabilización inicial / semana 7</x:v>
      </x:c>
      <x:c r="C5" s="10" t="str">
        <x:v>2026-10-22</x:v>
      </x:c>
      <x:c r="D5" s="10" t="str">
        <x:v>2026-10-28</x:v>
      </x:c>
      <x:c r="E5" s="10" t="n">
        <x:v>7.5</x:v>
      </x:c>
      <x:c r="F5" s="10"/>
      <x:c r="G5" s="10" t="str">
        <x:v>Planeado</x:v>
      </x:c>
      <x:c r="H5" s="10" t="str">
        <x:v>Inventario, dependencias y configuración</x:v>
      </x:c>
      <x:c r="J5" t="str">
        <x:v>Horas totales</x:v>
      </x:c>
      <x:c r="K5" t="n">
        <x:f>SUM(E2:E10)</x:f>
        <x:v>180</x:v>
      </x:c>
    </x:row>
    <x:row r="6">
      <x:c r="A6" s="10" t="str">
        <x:v>5</x:v>
      </x:c>
      <x:c r="B6" s="10" t="str">
        <x:v>Demostración y cierre académico / semana 8</x:v>
      </x:c>
      <x:c r="C6" s="10" t="str">
        <x:v>2026-10-29</x:v>
      </x:c>
      <x:c r="D6" s="10" t="str">
        <x:v>2026-11-04</x:v>
      </x:c>
      <x:c r="E6" s="10" t="n">
        <x:v>7.5</x:v>
      </x:c>
      <x:c r="F6" s="10"/>
      <x:c r="G6" s="10" t="str">
        <x:v>Planeado</x:v>
      </x:c>
      <x:c r="H6" s="10" t="str">
        <x:v>Prueba controlada e informe de avance</x:v>
      </x:c>
    </x:row>
    <x:row r="7">
      <x:c r="A7" s="10" t="str">
        <x:v>6</x:v>
      </x:c>
      <x:c r="B7" s="10" t="str">
        <x:v>Refactorización del motor</x:v>
      </x:c>
      <x:c r="C7" s="10" t="str">
        <x:v>2026-11-05</x:v>
      </x:c>
      <x:c r="D7" s="10" t="str">
        <x:v>2026-12-02</x:v>
      </x:c>
      <x:c r="E7" s="10" t="n">
        <x:v>30</x:v>
      </x:c>
      <x:c r="F7" s="10"/>
      <x:c r="G7" s="10" t="str">
        <x:v>Planeado</x:v>
      </x:c>
      <x:c r="H7" s="10" t="str">
        <x:v>Pipeline autónomo y modular</x:v>
      </x:c>
    </x:row>
    <x:row r="8">
      <x:c r="A8" s="10" t="str">
        <x:v>7</x:v>
      </x:c>
      <x:c r="B8" s="10" t="str">
        <x:v>Ingesta y validación</x:v>
      </x:c>
      <x:c r="C8" s="10" t="str">
        <x:v>2026-12-03</x:v>
      </x:c>
      <x:c r="D8" s="10" t="str">
        <x:v>2026-12-30</x:v>
      </x:c>
      <x:c r="E8" s="10" t="n">
        <x:v>30</x:v>
      </x:c>
      <x:c r="F8" s="10"/>
      <x:c r="G8" s="10" t="str">
        <x:v>Planeado</x:v>
      </x:c>
      <x:c r="H8" s="10" t="str">
        <x:v>Fuentes, procedencia y QA</x:v>
      </x:c>
    </x:row>
    <x:row r="9">
      <x:c r="A9" s="10" t="str">
        <x:v>8</x:v>
      </x:c>
      <x:c r="B9" s="10" t="str">
        <x:v>Modelado y validación metodológica</x:v>
      </x:c>
      <x:c r="C9" s="10" t="str">
        <x:v>2026-12-31</x:v>
      </x:c>
      <x:c r="D9" s="10" t="str">
        <x:v>2027-02-03</x:v>
      </x:c>
      <x:c r="E9" s="10" t="n">
        <x:v>37.5</x:v>
      </x:c>
      <x:c r="F9" s="10"/>
      <x:c r="G9" s="10" t="str">
        <x:v>Planeado</x:v>
      </x:c>
      <x:c r="H9" s="10" t="str">
        <x:v>Indicadores y modelos evaluados</x:v>
      </x:c>
    </x:row>
    <x:row r="10">
      <x:c r="A10" s="10" t="str">
        <x:v>9</x:v>
      </x:c>
      <x:c r="B10" s="10" t="str">
        <x:v>Productos, piloto y documentación</x:v>
      </x:c>
      <x:c r="C10" s="10" t="str">
        <x:v>2027-02-04</x:v>
      </x:c>
      <x:c r="D10" s="10" t="str">
        <x:v>2027-02-24</x:v>
      </x:c>
      <x:c r="E10" s="10" t="n">
        <x:v>22.5</x:v>
      </x:c>
      <x:c r="F10" s="10"/>
      <x:c r="G10" s="10" t="str">
        <x:v>Planeado</x:v>
      </x:c>
      <x:c r="H10" s="10" t="str">
        <x:v>Mapas, informe y pruebas del MVP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8" hidden="0" customWidth="1"/>
    <x:col min="3" max="3" width="24" hidden="0" customWidth="1"/>
    <x:col min="4" max="4" width="24" hidden="0" customWidth="1"/>
    <x:col min="5" max="5" width="19" hidden="0" customWidth="1"/>
  </x:cols>
  <x:sheetData>
    <x:row r="1" ht="30" customHeight="1">
      <x:c r="A1" s="5" t="str">
        <x:v>Concepto</x:v>
      </x:c>
      <x:c r="B1" s="5" t="str">
        <x:v>Cantidad</x:v>
      </x:c>
      <x:c r="C1" s="5" t="str">
        <x:v>Costo unitario COP</x:v>
      </x:c>
      <x:c r="D1" s="5" t="str">
        <x:v>Subtotal COP</x:v>
      </x:c>
      <x:c r="E1" s="5" t="str">
        <x:v>Tipo</x:v>
      </x:c>
    </x:row>
    <x:row r="2">
      <x:c r="A2" s="10" t="str">
        <x:v>Tiempo propio (valorizado)</x:v>
      </x:c>
      <x:c r="B2" s="12" t="n">
        <x:v>180</x:v>
      </x:c>
      <x:c r="C2" s="12" t="n">
        <x:f>'Plan y costos'!K2</x:f>
        <x:v>0</x:v>
      </x:c>
      <x:c r="D2" s="12" t="n">
        <x:f>B2*C2</x:f>
        <x:v>0</x:v>
      </x:c>
      <x:c r="E2" s="10" t="str">
        <x:v>Valorizado</x:v>
      </x:c>
    </x:row>
    <x:row r="3">
      <x:c r="A3" s="10" t="str">
        <x:v>Infraestructura y herramientas</x:v>
      </x:c>
      <x:c r="B3" s="12" t="n">
        <x:v>1</x:v>
      </x:c>
      <x:c r="C3" s="12" t="n">
        <x:f>'Plan y costos'!K3</x:f>
        <x:v>0</x:v>
      </x:c>
      <x:c r="D3" s="12" t="n">
        <x:f>B3*C3</x:f>
        <x:v>0</x:v>
      </x:c>
      <x:c r="E3" s="10" t="str">
        <x:v>Desembolso</x:v>
      </x:c>
    </x:row>
    <x:row r="4">
      <x:c r="A4" s="10" t="str">
        <x:v>Revisión experta eventual</x:v>
      </x:c>
      <x:c r="B4" s="12" t="n">
        <x:v>1</x:v>
      </x:c>
      <x:c r="C4" s="12" t="n">
        <x:v>0</x:v>
      </x:c>
      <x:c r="D4" s="12" t="n">
        <x:f>B4*C4</x:f>
        <x:v>0</x:v>
      </x:c>
      <x:c r="E4" s="10" t="str">
        <x:v>Desembolso</x:v>
      </x:c>
    </x:row>
    <x:row r="5">
      <x:c r="A5" s="10" t="str">
        <x:v>Contingencia</x:v>
      </x:c>
      <x:c r="B5" s="12" t="n">
        <x:v>1</x:v>
      </x:c>
      <x:c r="C5" s="12" t="n">
        <x:f>'Plan y costos'!K4</x:f>
        <x:v>0</x:v>
      </x:c>
      <x:c r="D5" s="12" t="n">
        <x:f>SUM(D2:D4)*C5/100</x:f>
        <x:v>0</x:v>
      </x:c>
      <x:c r="E5" s="10" t="str">
        <x:v>Reserva</x:v>
      </x:c>
    </x:row>
    <x:row r="6">
      <x:c r="B6" s="13"/>
      <x:c r="C6" s="13"/>
      <x:c r="D6" s="13"/>
    </x:row>
    <x:row r="7" ht="30" customHeight="1">
      <x:c r="A7" s="5" t="str">
        <x:v>RESUMEN</x:v>
      </x:c>
      <x:c r="B7" s="14" t="str">
        <x:v>COP</x:v>
      </x:c>
      <x:c r="C7" s="13"/>
      <x:c r="D7" s="13"/>
    </x:row>
    <x:row r="8">
      <x:c r="A8" t="str">
        <x:v>Total estimado</x:v>
      </x:c>
      <x:c r="B8" s="13" t="n">
        <x:f>SUM(D2:D5)</x:f>
        <x:v>0</x:v>
      </x:c>
      <x:c r="C8" s="13"/>
      <x:c r="D8" s="13"/>
    </x:row>
    <x:row r="9">
      <x:c r="A9" t="str">
        <x:v>Desembolso sin tiempo propio</x:v>
      </x:c>
      <x:c r="B9" s="13" t="n">
        <x:f>SUM(D3:D5)</x:f>
        <x:v>0</x:v>
      </x:c>
      <x:c r="C9" s="13"/>
      <x:c r="D9" s="13"/>
    </x:row>
  </x:sheetData>
  <x:pageMargins left="0.7" right="0.7" top="0.75" bottom="0.75" header="0.3" footer="0.3"/>
</x:worksheet>
</file>